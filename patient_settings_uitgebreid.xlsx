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vian\Desktop\Master onderzoek\"/>
    </mc:Choice>
  </mc:AlternateContent>
  <xr:revisionPtr revIDLastSave="0" documentId="13_ncr:1_{D74B6C91-FE3E-4F11-B1CF-D655E95AC7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tient" sheetId="1" r:id="rId1"/>
    <sheet name="Episodes" sheetId="2" r:id="rId2"/>
    <sheet name="Allergieen" sheetId="3" r:id="rId3"/>
    <sheet name="Microbiologie" sheetId="4" r:id="rId4"/>
    <sheet name="Laboratorium" sheetId="5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2"/>
  <c r="H4" i="2" s="1"/>
</calcChain>
</file>

<file path=xl/sharedStrings.xml><?xml version="1.0" encoding="utf-8"?>
<sst xmlns="http://schemas.openxmlformats.org/spreadsheetml/2006/main" count="94" uniqueCount="81">
  <si>
    <t>PATIËNTINSTELLINGEN</t>
  </si>
  <si>
    <t>Instelling</t>
  </si>
  <si>
    <t>Waarde</t>
  </si>
  <si>
    <t>Toelichting</t>
  </si>
  <si>
    <t>patient_id</t>
  </si>
  <si>
    <t>Unieke fictieve code; wordt gebruikt in de bestandsnaam.</t>
  </si>
  <si>
    <t>geslacht</t>
  </si>
  <si>
    <t>Kies man, vrouw, anders of onbekend.</t>
  </si>
  <si>
    <t>leeftijd</t>
  </si>
  <si>
    <t>Leeftijd in jaren aan het einde van de dossierperiode.</t>
  </si>
  <si>
    <t>aantal_jaren</t>
  </si>
  <si>
    <t>Duur van het dossier; de exacte datums worden automatisch berekend.</t>
  </si>
  <si>
    <t>aantal_deelcontacten</t>
  </si>
  <si>
    <t>Gewenst aantal contacten; voor een korte test bijvoorbeeld 8-12.</t>
  </si>
  <si>
    <t>ruis_spelfouten</t>
  </si>
  <si>
    <t>Laag</t>
  </si>
  <si>
    <t>Kies Geen, Laag of Gemiddeld: opzettelijke kleine type- of spelfouten in vrije tekst.</t>
  </si>
  <si>
    <t>ruis_afkortingen</t>
  </si>
  <si>
    <t>Kies Geen, Laag of Gemiddeld: gebruik van gangbare Nederlandse medische afkortingen.</t>
  </si>
  <si>
    <t>ruis_telegramstijl</t>
  </si>
  <si>
    <t>Kies Geen, Laag of Gemiddeld: beknopte zinsdelen en het weglaten van bijvoorbeeld lidwoorden.</t>
  </si>
  <si>
    <t>ruis_interpunctie</t>
  </si>
  <si>
    <t>Geen</t>
  </si>
  <si>
    <t>Kies Geen, Laag of Gemiddeld: inconsistente punten, komma's en hoofdletters in vrije tekst.</t>
  </si>
  <si>
    <t>ruis_herhaling</t>
  </si>
  <si>
    <t>Kies Geen, Laag of Gemiddeld: beperkte herhaling van relevante voorgeschiedenis of eerder beleid.</t>
  </si>
  <si>
    <t>allergie_modus</t>
  </si>
  <si>
    <t>Automatisch</t>
  </si>
  <si>
    <t>Automatisch, Zelf invoeren of Geen. Bij Zelf invoeren gebruik je het tabblad Allergieen.</t>
  </si>
  <si>
    <t>microbiologie_modus</t>
  </si>
  <si>
    <t>Automatisch, Zelf invoeren of Geen. Bij Zelf invoeren gebruik je het tabblad Microbiologie.</t>
  </si>
  <si>
    <t>laboratorium_modus</t>
  </si>
  <si>
    <t>Automatisch, Zelf invoeren of Geen. Bij Zelf invoeren gebruik je het tabblad Laboratorium.</t>
  </si>
  <si>
    <t>volgorde</t>
  </si>
  <si>
    <t>episode</t>
  </si>
  <si>
    <t>patient_specifieke_omschrijving</t>
  </si>
  <si>
    <t>CONTROLE DEELCONTACTEN</t>
  </si>
  <si>
    <t>essentiële hypertensie</t>
  </si>
  <si>
    <t>Volgorde 1 treedt het eerst op. Vul aantallen voor alle episodes in, of laat de hele kolom leeg.</t>
  </si>
  <si>
    <t>Totaal per episode</t>
  </si>
  <si>
    <t>diabetes mellitus type 2</t>
  </si>
  <si>
    <t>Gebruik unieke volgnummers. De som van kolom D moet gelijk zijn aan het totaal op Patient.</t>
  </si>
  <si>
    <t>Totaal tabblad Patient</t>
  </si>
  <si>
    <t>De patiëntspecifieke omschrijving is bindend. Laat kolom D volledig leeg voor automatische verdeling.</t>
  </si>
  <si>
    <t>Controle</t>
  </si>
  <si>
    <t>allergeen</t>
  </si>
  <si>
    <t>type_allergie</t>
  </si>
  <si>
    <t>reactie</t>
  </si>
  <si>
    <t>ernst</t>
  </si>
  <si>
    <t>status</t>
  </si>
  <si>
    <t>Alleen gebruikt als allergie_modus op Zelf invoeren staat.</t>
  </si>
  <si>
    <t>Vul minimaal het allergeen in, bijvoorbeeld penicilline.</t>
  </si>
  <si>
    <t>Andere velden mogen leeg blijven; dan kiest het model een passende waarde.</t>
  </si>
  <si>
    <t>Bij Automatisch worden deze regels genegeerd en beslist het model zelf.</t>
  </si>
  <si>
    <t>Bij Geen blijft het allergieoverzicht leeg.</t>
  </si>
  <si>
    <t>materiaal</t>
  </si>
  <si>
    <t>onderzoek</t>
  </si>
  <si>
    <t>gewenste_uitslag</t>
  </si>
  <si>
    <t>verwekker</t>
  </si>
  <si>
    <t>Alleen gebruikt als microbiologie_modus op Zelf invoeren staat.</t>
  </si>
  <si>
    <t>Vul bijvoorbeeld: urineweginfectie | urine | urinekweek.</t>
  </si>
  <si>
    <t>Gewenste uitslag kan bijvoorbeeld positief of negatief zijn, of leeg blijven.</t>
  </si>
  <si>
    <t>De verwekker mag leeg blijven; dan kiest het model een passende uitkomst.</t>
  </si>
  <si>
    <t>Bij Geen blijft de microbiologielijst leeg.</t>
  </si>
  <si>
    <t>aanvraagreden</t>
  </si>
  <si>
    <t>bepaling</t>
  </si>
  <si>
    <t>gewenste_waarde</t>
  </si>
  <si>
    <t>eenheid</t>
  </si>
  <si>
    <t>Alleen gebruikt als laboratorium_modus op Zelf invoeren staat.</t>
  </si>
  <si>
    <t>Vul minimaal de bepaling in, bijvoorbeeld HbA1c, creatinine of TSH.</t>
  </si>
  <si>
    <t>Episode, aanvraagreden, gewenste waarde en eenheid mogen leeg blijven; dan vult het model dit automatisch in.</t>
  </si>
  <si>
    <t>Vul voor meerdere bepalingen meerdere regels in; de code laat passende waarden onder één prikmoment groeperen.</t>
  </si>
  <si>
    <t>Bij Automatisch maakt het model realistische laboratoriumaanvragen met meerdere samenhangende bepalingen.</t>
  </si>
  <si>
    <t>Ook normale nevenbepalingen kunnen worden opgenomen; een volledig bloedbeeld wordt niet bij elke hypertensiecontrole afgedwongen.</t>
  </si>
  <si>
    <t>Bij Geen blijft de lijst met laboratoriumuitslagen leeg.</t>
  </si>
  <si>
    <t>P007</t>
  </si>
  <si>
    <t>vrouw</t>
  </si>
  <si>
    <t>Triggerfinger</t>
  </si>
  <si>
    <t xml:space="preserve">Reumatroide artritis </t>
  </si>
  <si>
    <t>Tendovaginitis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</si>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</sst>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color rgb="FF404040"/>
      <name val="Carlito"/>
    </font>
    <font>
      <sz val="11"/>
      <color rgb="FF595959"/>
      <name val="Carlito"/>
    </font>
    <font>
      <sz val="11"/>
      <color rgb="FF7F3F00"/>
      <name val="Carlito"/>
    </font>
    <font>
      <sz val="11"/>
      <color rgb="FF375623"/>
      <name val="Carlito"/>
    </font>
    <font>
      <sz val="11"/>
      <color rgb="FF1F4E78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E2F0D9"/>
      </patternFill>
    </fill>
  </fills>
  <borders count="47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 style="thin">
        <color rgb="FFB4C7DC"/>
      </right>
      <top/>
      <bottom style="thin">
        <color rgb="FFB4C7DC"/>
      </bottom>
      <diagonal/>
    </border>
    <border>
      <left style="thin">
        <color rgb="FFB4C7DC"/>
      </left>
      <right style="thin">
        <color rgb="FFB4C7DC"/>
      </right>
      <top/>
      <bottom style="thin">
        <color rgb="FFB4C7DC"/>
      </bottom>
      <diagonal/>
    </border>
    <border>
      <left style="thin">
        <color rgb="FFB4C7DC"/>
      </left>
      <right/>
      <top/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B4C7DC"/>
      </left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/>
      <diagonal/>
    </border>
    <border>
      <left style="thin">
        <color rgb="FFB4C7DC"/>
      </left>
      <right style="thin">
        <color rgb="FFB4C7DC"/>
      </right>
      <top style="thin">
        <color rgb="FFB4C7DC"/>
      </top>
      <bottom/>
      <diagonal/>
    </border>
    <border>
      <left style="thin">
        <color rgb="FFB4C7DC"/>
      </left>
      <right/>
      <top style="thin">
        <color rgb="FFB4C7DC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/>
      <top/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/>
      <top style="thin">
        <color rgb="FFF4B183"/>
      </top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/>
      <diagonal/>
    </border>
    <border>
      <left style="thin">
        <color rgb="FFF4B183"/>
      </left>
      <right style="thin">
        <color rgb="FFF4B183"/>
      </right>
      <top style="thin">
        <color rgb="FFF4B183"/>
      </top>
      <bottom/>
      <diagonal/>
    </border>
    <border>
      <left style="thin">
        <color rgb="FFF4B183"/>
      </left>
      <right/>
      <top style="thin">
        <color rgb="FFF4B183"/>
      </top>
      <bottom/>
      <diagonal/>
    </border>
    <border>
      <left/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 style="thin">
        <color rgb="FF9EADBA"/>
      </left>
      <right style="thin">
        <color rgb="FF9EADBA"/>
      </right>
      <top/>
      <bottom style="thin">
        <color rgb="FF9EADBA"/>
      </bottom>
      <diagonal/>
    </border>
    <border>
      <left style="thin">
        <color rgb="FF9EADBA"/>
      </left>
      <right/>
      <top/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 style="thin">
        <color rgb="FF9EADBA"/>
      </top>
      <bottom/>
      <diagonal/>
    </border>
  </borders>
  <cellStyleXfs count="2">
    <xf numFmtId="0" fontId="0" fillId="0" borderId="0"/>
    <xf numFmtId="0" fontId="9" fillId="0" borderId="0"/>
  </cellStyleXfs>
  <cellXfs count="53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vertical="top"/>
    </xf>
    <xf numFmtId="0" fontId="0" fillId="5" borderId="5" xfId="1" applyFont="1" applyFill="1" applyBorder="1" applyAlignment="1">
      <alignment vertical="top"/>
    </xf>
    <xf numFmtId="0" fontId="4" fillId="6" borderId="6" xfId="1" applyFont="1" applyFill="1" applyBorder="1" applyAlignment="1">
      <alignment vertical="top" wrapText="1"/>
    </xf>
    <xf numFmtId="0" fontId="3" fillId="4" borderId="7" xfId="1" applyFont="1" applyFill="1" applyBorder="1" applyAlignment="1">
      <alignment vertical="top"/>
    </xf>
    <xf numFmtId="0" fontId="0" fillId="5" borderId="8" xfId="1" applyFont="1" applyFill="1" applyBorder="1" applyAlignment="1">
      <alignment vertical="top"/>
    </xf>
    <xf numFmtId="0" fontId="4" fillId="6" borderId="9" xfId="1" applyFont="1" applyFill="1" applyBorder="1" applyAlignment="1">
      <alignment vertical="top" wrapText="1"/>
    </xf>
    <xf numFmtId="0" fontId="3" fillId="4" borderId="10" xfId="1" applyFont="1" applyFill="1" applyBorder="1" applyAlignment="1">
      <alignment vertical="top"/>
    </xf>
    <xf numFmtId="0" fontId="0" fillId="5" borderId="11" xfId="1" applyFont="1" applyFill="1" applyBorder="1" applyAlignment="1">
      <alignment vertical="top"/>
    </xf>
    <xf numFmtId="0" fontId="4" fillId="6" borderId="12" xfId="1" applyFont="1" applyFill="1" applyBorder="1" applyAlignment="1">
      <alignment vertical="top" wrapText="1"/>
    </xf>
    <xf numFmtId="0" fontId="2" fillId="2" borderId="13" xfId="1" applyFont="1" applyFill="1" applyBorder="1" applyAlignment="1">
      <alignment horizontal="center" wrapText="1"/>
    </xf>
    <xf numFmtId="0" fontId="2" fillId="2" borderId="14" xfId="1" applyFont="1" applyFill="1" applyBorder="1" applyAlignment="1">
      <alignment horizontal="center" wrapText="1"/>
    </xf>
    <xf numFmtId="0" fontId="2" fillId="2" borderId="15" xfId="1" applyFont="1" applyFill="1" applyBorder="1" applyAlignment="1">
      <alignment horizontal="center" wrapText="1"/>
    </xf>
    <xf numFmtId="0" fontId="0" fillId="5" borderId="16" xfId="1" applyFont="1" applyFill="1" applyBorder="1" applyAlignment="1">
      <alignment vertical="top" wrapText="1"/>
    </xf>
    <xf numFmtId="0" fontId="0" fillId="5" borderId="17" xfId="1" applyFont="1" applyFill="1" applyBorder="1" applyAlignment="1">
      <alignment vertical="top" wrapText="1"/>
    </xf>
    <xf numFmtId="0" fontId="5" fillId="7" borderId="18" xfId="1" applyFont="1" applyFill="1" applyBorder="1" applyAlignment="1">
      <alignment vertical="top" wrapText="1"/>
    </xf>
    <xf numFmtId="0" fontId="0" fillId="5" borderId="19" xfId="1" applyFont="1" applyFill="1" applyBorder="1" applyAlignment="1">
      <alignment vertical="top" wrapText="1"/>
    </xf>
    <xf numFmtId="0" fontId="0" fillId="5" borderId="20" xfId="1" applyFont="1" applyFill="1" applyBorder="1" applyAlignment="1">
      <alignment vertical="top" wrapText="1"/>
    </xf>
    <xf numFmtId="0" fontId="5" fillId="7" borderId="21" xfId="1" applyFont="1" applyFill="1" applyBorder="1" applyAlignment="1">
      <alignment vertical="top" wrapText="1"/>
    </xf>
    <xf numFmtId="0" fontId="3" fillId="4" borderId="22" xfId="1" applyFont="1" applyFill="1" applyBorder="1"/>
    <xf numFmtId="0" fontId="0" fillId="6" borderId="22" xfId="1" applyFont="1" applyFill="1" applyBorder="1" applyAlignment="1">
      <alignment horizontal="center"/>
    </xf>
    <xf numFmtId="0" fontId="2" fillId="8" borderId="23" xfId="1" applyFont="1" applyFill="1" applyBorder="1" applyAlignment="1">
      <alignment horizontal="center" wrapText="1"/>
    </xf>
    <xf numFmtId="0" fontId="2" fillId="8" borderId="24" xfId="1" applyFont="1" applyFill="1" applyBorder="1" applyAlignment="1">
      <alignment horizontal="center" wrapText="1"/>
    </xf>
    <xf numFmtId="0" fontId="2" fillId="8" borderId="25" xfId="1" applyFont="1" applyFill="1" applyBorder="1" applyAlignment="1">
      <alignment horizontal="center" wrapText="1"/>
    </xf>
    <xf numFmtId="0" fontId="0" fillId="5" borderId="26" xfId="1" applyFont="1" applyFill="1" applyBorder="1" applyAlignment="1">
      <alignment vertical="top" wrapText="1"/>
    </xf>
    <xf numFmtId="0" fontId="0" fillId="5" borderId="27" xfId="1" applyFont="1" applyFill="1" applyBorder="1" applyAlignment="1">
      <alignment vertical="top" wrapText="1"/>
    </xf>
    <xf numFmtId="0" fontId="6" fillId="9" borderId="28" xfId="1" applyFont="1" applyFill="1" applyBorder="1" applyAlignment="1">
      <alignment vertical="top" wrapText="1"/>
    </xf>
    <xf numFmtId="0" fontId="0" fillId="5" borderId="29" xfId="1" applyFont="1" applyFill="1" applyBorder="1" applyAlignment="1">
      <alignment vertical="top" wrapText="1"/>
    </xf>
    <xf numFmtId="0" fontId="0" fillId="5" borderId="30" xfId="1" applyFont="1" applyFill="1" applyBorder="1" applyAlignment="1">
      <alignment vertical="top" wrapText="1"/>
    </xf>
    <xf numFmtId="0" fontId="6" fillId="9" borderId="31" xfId="1" applyFont="1" applyFill="1" applyBorder="1" applyAlignment="1">
      <alignment vertical="top" wrapText="1"/>
    </xf>
    <xf numFmtId="0" fontId="2" fillId="10" borderId="32" xfId="1" applyFont="1" applyFill="1" applyBorder="1" applyAlignment="1">
      <alignment horizontal="center" wrapText="1"/>
    </xf>
    <xf numFmtId="0" fontId="2" fillId="10" borderId="33" xfId="1" applyFont="1" applyFill="1" applyBorder="1" applyAlignment="1">
      <alignment horizontal="center" wrapText="1"/>
    </xf>
    <xf numFmtId="0" fontId="2" fillId="10" borderId="34" xfId="1" applyFont="1" applyFill="1" applyBorder="1" applyAlignment="1">
      <alignment horizontal="center" wrapText="1"/>
    </xf>
    <xf numFmtId="0" fontId="0" fillId="5" borderId="35" xfId="1" applyFont="1" applyFill="1" applyBorder="1" applyAlignment="1">
      <alignment vertical="top" wrapText="1"/>
    </xf>
    <xf numFmtId="0" fontId="0" fillId="5" borderId="36" xfId="1" applyFont="1" applyFill="1" applyBorder="1" applyAlignment="1">
      <alignment vertical="top" wrapText="1"/>
    </xf>
    <xf numFmtId="0" fontId="7" fillId="11" borderId="37" xfId="1" applyFont="1" applyFill="1" applyBorder="1" applyAlignment="1">
      <alignment vertical="top" wrapText="1"/>
    </xf>
    <xf numFmtId="0" fontId="0" fillId="5" borderId="38" xfId="1" applyFont="1" applyFill="1" applyBorder="1" applyAlignment="1">
      <alignment vertical="top" wrapText="1"/>
    </xf>
    <xf numFmtId="0" fontId="0" fillId="5" borderId="39" xfId="1" applyFont="1" applyFill="1" applyBorder="1" applyAlignment="1">
      <alignment vertical="top" wrapText="1"/>
    </xf>
    <xf numFmtId="0" fontId="7" fillId="11" borderId="40" xfId="1" applyFont="1" applyFill="1" applyBorder="1" applyAlignment="1">
      <alignment vertical="top" wrapText="1"/>
    </xf>
    <xf numFmtId="0" fontId="2" fillId="2" borderId="41" xfId="1" applyFont="1" applyFill="1" applyBorder="1" applyAlignment="1">
      <alignment horizontal="center" wrapText="1"/>
    </xf>
    <xf numFmtId="0" fontId="2" fillId="2" borderId="42" xfId="1" applyFont="1" applyFill="1" applyBorder="1" applyAlignment="1">
      <alignment horizontal="center" wrapText="1"/>
    </xf>
    <xf numFmtId="0" fontId="2" fillId="2" borderId="43" xfId="1" applyFont="1" applyFill="1" applyBorder="1" applyAlignment="1">
      <alignment horizontal="center" wrapText="1"/>
    </xf>
    <xf numFmtId="0" fontId="0" fillId="5" borderId="3" xfId="1" applyFont="1" applyFill="1" applyBorder="1" applyAlignment="1">
      <alignment vertical="top" wrapText="1"/>
    </xf>
    <xf numFmtId="0" fontId="0" fillId="5" borderId="22" xfId="1" applyFont="1" applyFill="1" applyBorder="1" applyAlignment="1">
      <alignment vertical="top" wrapText="1"/>
    </xf>
    <xf numFmtId="0" fontId="8" fillId="4" borderId="1" xfId="1" applyFont="1" applyFill="1" applyBorder="1" applyAlignment="1">
      <alignment vertical="top" wrapText="1"/>
    </xf>
    <xf numFmtId="0" fontId="0" fillId="5" borderId="44" xfId="1" applyFont="1" applyFill="1" applyBorder="1" applyAlignment="1">
      <alignment vertical="top" wrapText="1"/>
    </xf>
    <xf numFmtId="0" fontId="0" fillId="5" borderId="45" xfId="1" applyFont="1" applyFill="1" applyBorder="1" applyAlignment="1">
      <alignment vertical="top" wrapText="1"/>
    </xf>
    <xf numFmtId="0" fontId="8" fillId="4" borderId="46" xfId="1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2" fillId="3" borderId="22" xfId="1" applyFont="1" applyFill="1" applyBorder="1" applyAlignment="1">
      <alignment horizontal="center"/>
    </xf>
  </cellXfs>
  <cellStyles count="2">
    <cellStyle name="Normal" xfId="1" xr:uid="{00000000-0005-0000-0000-000000000000}"/>
    <cellStyle name="Standaard" xfId="0" builtinId="0"/>
  </cellStyles>
  <dxfs count="4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workbookViewId="0">
      <selection activeCell="B6" sqref="B6"/>
    </sheetView>
  </sheetViews>
  <sheetFormatPr defaultRowHeight="13.8"/>
  <cols>
    <col min="1" max="1" width="25" customWidth="1"/>
    <col min="2" max="2" width="26" customWidth="1"/>
    <col min="3" max="3" width="76" customWidth="1"/>
  </cols>
  <sheetData>
    <row r="1" spans="1:3" ht="30" customHeight="1">
      <c r="A1" s="51" t="s">
        <v>0</v>
      </c>
      <c r="B1" s="51"/>
      <c r="C1" s="51"/>
    </row>
    <row r="3" spans="1:3">
      <c r="A3" s="1" t="s">
        <v>1</v>
      </c>
      <c r="B3" s="2" t="s">
        <v>2</v>
      </c>
      <c r="C3" s="3" t="s">
        <v>3</v>
      </c>
    </row>
    <row r="4" spans="1:3" ht="36" customHeight="1">
      <c r="A4" s="4" t="s">
        <v>4</v>
      </c>
      <c r="B4" s="5" t="s">
        <v>75</v>
      </c>
      <c r="C4" s="6" t="s">
        <v>5</v>
      </c>
    </row>
    <row r="5" spans="1:3" ht="36" customHeight="1">
      <c r="A5" s="7" t="s">
        <v>6</v>
      </c>
      <c r="B5" s="8" t="s">
        <v>76</v>
      </c>
      <c r="C5" s="9" t="s">
        <v>7</v>
      </c>
    </row>
    <row r="6" spans="1:3" ht="36" customHeight="1">
      <c r="A6" s="7" t="s">
        <v>8</v>
      </c>
      <c r="B6" s="8">
        <v>50</v>
      </c>
      <c r="C6" s="9" t="s">
        <v>9</v>
      </c>
    </row>
    <row r="7" spans="1:3" ht="36" customHeight="1">
      <c r="A7" s="7" t="s">
        <v>10</v>
      </c>
      <c r="B7" s="8">
        <v>5</v>
      </c>
      <c r="C7" s="9" t="s">
        <v>11</v>
      </c>
    </row>
    <row r="8" spans="1:3" ht="36" customHeight="1">
      <c r="A8" s="7" t="s">
        <v>12</v>
      </c>
      <c r="B8" s="8">
        <v>10</v>
      </c>
      <c r="C8" s="9" t="s">
        <v>13</v>
      </c>
    </row>
    <row r="9" spans="1:3" ht="36" customHeight="1">
      <c r="A9" s="7" t="s">
        <v>14</v>
      </c>
      <c r="B9" s="8" t="s">
        <v>15</v>
      </c>
      <c r="C9" s="9" t="s">
        <v>16</v>
      </c>
    </row>
    <row r="10" spans="1:3" ht="36" customHeight="1">
      <c r="A10" s="7" t="s">
        <v>17</v>
      </c>
      <c r="B10" s="8" t="s">
        <v>15</v>
      </c>
      <c r="C10" s="9" t="s">
        <v>18</v>
      </c>
    </row>
    <row r="11" spans="1:3" ht="36" customHeight="1">
      <c r="A11" s="7" t="s">
        <v>19</v>
      </c>
      <c r="B11" s="8" t="s">
        <v>15</v>
      </c>
      <c r="C11" s="9" t="s">
        <v>20</v>
      </c>
    </row>
    <row r="12" spans="1:3" ht="36" customHeight="1">
      <c r="A12" s="7" t="s">
        <v>21</v>
      </c>
      <c r="B12" s="8" t="s">
        <v>22</v>
      </c>
      <c r="C12" s="9" t="s">
        <v>23</v>
      </c>
    </row>
    <row r="13" spans="1:3" ht="36" customHeight="1">
      <c r="A13" s="7" t="s">
        <v>24</v>
      </c>
      <c r="B13" s="8" t="s">
        <v>15</v>
      </c>
      <c r="C13" s="9" t="s">
        <v>25</v>
      </c>
    </row>
    <row r="14" spans="1:3" ht="36" customHeight="1">
      <c r="A14" s="7" t="s">
        <v>26</v>
      </c>
      <c r="B14" s="8" t="s">
        <v>27</v>
      </c>
      <c r="C14" s="9" t="s">
        <v>28</v>
      </c>
    </row>
    <row r="15" spans="1:3" ht="36" customHeight="1">
      <c r="A15" s="7" t="s">
        <v>29</v>
      </c>
      <c r="B15" s="8" t="s">
        <v>27</v>
      </c>
      <c r="C15" s="9" t="s">
        <v>30</v>
      </c>
    </row>
    <row r="16" spans="1:3" ht="36" customHeight="1">
      <c r="A16" s="10" t="s">
        <v>31</v>
      </c>
      <c r="B16" s="11" t="s">
        <v>27</v>
      </c>
      <c r="C16" s="12" t="s">
        <v>32</v>
      </c>
    </row>
  </sheetData>
  <mergeCells count="1">
    <mergeCell ref="A1:C1"/>
  </mergeCells>
  <dataValidations count="6">
    <dataValidation type="list" sqref="B5" xr:uid="{00000000-0002-0000-0000-000000000000}">
      <formula1>"man,vrouw,anders,onbekend"</formula1>
    </dataValidation>
    <dataValidation type="whole" sqref="B6" xr:uid="{00000000-0002-0000-0000-000001000000}">
      <formula1>0</formula1>
      <formula2>120</formula2>
    </dataValidation>
    <dataValidation type="whole" sqref="B7" xr:uid="{00000000-0002-0000-0000-000002000000}">
      <formula1>1</formula1>
      <formula2>25</formula2>
    </dataValidation>
    <dataValidation type="whole" sqref="B8" xr:uid="{00000000-0002-0000-0000-000003000000}">
      <formula1>1</formula1>
      <formula2>250</formula2>
    </dataValidation>
    <dataValidation type="list" sqref="B9:B13" xr:uid="{00000000-0002-0000-0000-000004000000}">
      <formula1>"Geen,Laag,Gemiddeld"</formula1>
    </dataValidation>
    <dataValidation type="list" sqref="B14:B16" xr:uid="{00000000-0002-0000-0000-000005000000}">
      <formula1>"Automatisch,Zelf invoeren,Geen"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tabSelected="1" workbookViewId="0">
      <selection activeCell="C8" sqref="C8"/>
    </sheetView>
  </sheetViews>
  <sheetFormatPr defaultRowHeight="13.8"/>
  <cols>
    <col min="1" max="1" width="13" customWidth="1"/>
    <col min="2" max="2" width="34" customWidth="1"/>
    <col min="3" max="3" width="54" customWidth="1"/>
    <col min="4" max="4" width="23" customWidth="1"/>
    <col min="5" max="5" width="66" customWidth="1"/>
    <col min="7" max="7" width="28" customWidth="1"/>
    <col min="8" max="8" width="21" customWidth="1"/>
  </cols>
  <sheetData>
    <row r="1" spans="1:8">
      <c r="A1" s="13" t="s">
        <v>33</v>
      </c>
      <c r="B1" s="14" t="s">
        <v>34</v>
      </c>
      <c r="C1" s="14" t="s">
        <v>35</v>
      </c>
      <c r="D1" s="14" t="s">
        <v>12</v>
      </c>
      <c r="E1" s="15" t="s">
        <v>3</v>
      </c>
      <c r="G1" s="52" t="s">
        <v>36</v>
      </c>
      <c r="H1" s="52"/>
    </row>
    <row r="2" spans="1:8" ht="42" customHeight="1">
      <c r="A2" s="16">
        <v>1</v>
      </c>
      <c r="B2" s="17" t="s">
        <v>37</v>
      </c>
      <c r="C2" s="17"/>
      <c r="D2" s="17"/>
      <c r="E2" s="18" t="s">
        <v>38</v>
      </c>
      <c r="G2" s="22" t="s">
        <v>39</v>
      </c>
      <c r="H2" s="23">
        <f>SUM(D2:D30)</f>
        <v>0</v>
      </c>
    </row>
    <row r="3" spans="1:8" ht="42" customHeight="1">
      <c r="A3" s="16">
        <v>2</v>
      </c>
      <c r="B3" s="17" t="s">
        <v>40</v>
      </c>
      <c r="C3" s="17"/>
      <c r="D3" s="17"/>
      <c r="E3" s="18" t="s">
        <v>41</v>
      </c>
      <c r="G3" s="22" t="s">
        <v>42</v>
      </c>
      <c r="H3" s="23">
        <f>Patient!B8</f>
        <v>10</v>
      </c>
    </row>
    <row r="4" spans="1:8" ht="42" customHeight="1">
      <c r="A4" s="16">
        <v>3</v>
      </c>
      <c r="B4" s="17" t="s">
        <v>77</v>
      </c>
      <c r="C4" s="17"/>
      <c r="D4" s="17"/>
      <c r="E4" s="18" t="s">
        <v>43</v>
      </c>
      <c r="G4" s="22" t="s">
        <v>44</v>
      </c>
      <c r="H4" s="23" t="str">
        <f>IF(COUNT(D2:D30)=0,"Automatische verdeling",IF(H2=H3,"Klopt","Verschil"))</f>
        <v>Automatische verdeling</v>
      </c>
    </row>
    <row r="5" spans="1:8" ht="42" customHeight="1">
      <c r="A5" s="16">
        <v>4</v>
      </c>
      <c r="B5" s="17" t="s">
        <v>78</v>
      </c>
      <c r="C5" s="17"/>
      <c r="D5" s="17"/>
      <c r="E5" s="18"/>
    </row>
    <row r="6" spans="1:8" ht="42" customHeight="1">
      <c r="A6" s="16">
        <v>5</v>
      </c>
      <c r="B6" s="17" t="s">
        <v>79</v>
      </c>
      <c r="C6" s="17"/>
      <c r="D6" s="17"/>
      <c r="E6" s="18"/>
    </row>
    <row r="7" spans="1:8" ht="42" customHeight="1">
      <c r="A7" s="16"/>
      <c r="B7" s="17"/>
      <c r="C7" s="17"/>
      <c r="D7" s="17"/>
      <c r="E7" s="18"/>
    </row>
    <row r="8" spans="1:8" ht="42" customHeight="1">
      <c r="A8" s="16"/>
      <c r="B8" s="17"/>
      <c r="C8" s="17"/>
      <c r="D8" s="17"/>
      <c r="E8" s="18"/>
    </row>
    <row r="9" spans="1:8" ht="42" customHeight="1">
      <c r="A9" s="16"/>
      <c r="B9" s="17"/>
      <c r="C9" s="17"/>
      <c r="D9" s="17"/>
      <c r="E9" s="18"/>
    </row>
    <row r="10" spans="1:8" ht="42" customHeight="1">
      <c r="A10" s="16"/>
      <c r="B10" s="17"/>
      <c r="C10" s="17"/>
      <c r="D10" s="17"/>
      <c r="E10" s="18"/>
    </row>
    <row r="11" spans="1:8" ht="42" customHeight="1">
      <c r="A11" s="16"/>
      <c r="B11" s="17"/>
      <c r="C11" s="17"/>
      <c r="D11" s="17"/>
      <c r="E11" s="18"/>
    </row>
    <row r="12" spans="1:8" ht="42" customHeight="1">
      <c r="A12" s="16"/>
      <c r="B12" s="17"/>
      <c r="C12" s="17"/>
      <c r="D12" s="17"/>
      <c r="E12" s="18"/>
    </row>
    <row r="13" spans="1:8" ht="42" customHeight="1">
      <c r="A13" s="16"/>
      <c r="B13" s="17"/>
      <c r="C13" s="17"/>
      <c r="D13" s="17"/>
      <c r="E13" s="18"/>
    </row>
    <row r="14" spans="1:8" ht="42" customHeight="1">
      <c r="A14" s="16"/>
      <c r="B14" s="17"/>
      <c r="C14" s="17"/>
      <c r="D14" s="17"/>
      <c r="E14" s="18"/>
    </row>
    <row r="15" spans="1:8" ht="42" customHeight="1">
      <c r="A15" s="16"/>
      <c r="B15" s="17"/>
      <c r="C15" s="17"/>
      <c r="D15" s="17"/>
      <c r="E15" s="18"/>
    </row>
    <row r="16" spans="1:8" ht="42" customHeight="1">
      <c r="A16" s="16"/>
      <c r="B16" s="17"/>
      <c r="C16" s="17"/>
      <c r="D16" s="17"/>
      <c r="E16" s="18"/>
    </row>
    <row r="17" spans="1:5" ht="42" customHeight="1">
      <c r="A17" s="16"/>
      <c r="B17" s="17"/>
      <c r="C17" s="17"/>
      <c r="D17" s="17"/>
      <c r="E17" s="18"/>
    </row>
    <row r="18" spans="1:5" ht="42" customHeight="1">
      <c r="A18" s="16"/>
      <c r="B18" s="17"/>
      <c r="C18" s="17"/>
      <c r="D18" s="17"/>
      <c r="E18" s="18"/>
    </row>
    <row r="19" spans="1:5" ht="42" customHeight="1">
      <c r="A19" s="16"/>
      <c r="B19" s="17"/>
      <c r="C19" s="17"/>
      <c r="D19" s="17"/>
      <c r="E19" s="18"/>
    </row>
    <row r="20" spans="1:5" ht="42" customHeight="1">
      <c r="A20" s="16"/>
      <c r="B20" s="17"/>
      <c r="C20" s="17"/>
      <c r="D20" s="17"/>
      <c r="E20" s="18"/>
    </row>
    <row r="21" spans="1:5" ht="42" customHeight="1">
      <c r="A21" s="16"/>
      <c r="B21" s="17"/>
      <c r="C21" s="17"/>
      <c r="D21" s="17"/>
      <c r="E21" s="18"/>
    </row>
    <row r="22" spans="1:5" ht="42" customHeight="1">
      <c r="A22" s="16"/>
      <c r="B22" s="17"/>
      <c r="C22" s="17"/>
      <c r="D22" s="17"/>
      <c r="E22" s="18"/>
    </row>
    <row r="23" spans="1:5" ht="42" customHeight="1">
      <c r="A23" s="16"/>
      <c r="B23" s="17"/>
      <c r="C23" s="17"/>
      <c r="D23" s="17"/>
      <c r="E23" s="18"/>
    </row>
    <row r="24" spans="1:5" ht="42" customHeight="1">
      <c r="A24" s="16"/>
      <c r="B24" s="17"/>
      <c r="C24" s="17"/>
      <c r="D24" s="17"/>
      <c r="E24" s="18"/>
    </row>
    <row r="25" spans="1:5" ht="42" customHeight="1">
      <c r="A25" s="16"/>
      <c r="B25" s="17"/>
      <c r="C25" s="17"/>
      <c r="D25" s="17"/>
      <c r="E25" s="18"/>
    </row>
    <row r="26" spans="1:5" ht="42" customHeight="1">
      <c r="A26" s="16"/>
      <c r="B26" s="17"/>
      <c r="C26" s="17"/>
      <c r="D26" s="17"/>
      <c r="E26" s="18"/>
    </row>
    <row r="27" spans="1:5" ht="42" customHeight="1">
      <c r="A27" s="16"/>
      <c r="B27" s="17"/>
      <c r="C27" s="17"/>
      <c r="D27" s="17"/>
      <c r="E27" s="18"/>
    </row>
    <row r="28" spans="1:5" ht="42" customHeight="1">
      <c r="A28" s="16"/>
      <c r="B28" s="17"/>
      <c r="C28" s="17"/>
      <c r="D28" s="17"/>
      <c r="E28" s="18"/>
    </row>
    <row r="29" spans="1:5" ht="42" customHeight="1">
      <c r="A29" s="16"/>
      <c r="B29" s="17"/>
      <c r="C29" s="17"/>
      <c r="D29" s="17"/>
      <c r="E29" s="18"/>
    </row>
    <row r="30" spans="1:5" ht="42" customHeight="1">
      <c r="A30" s="19"/>
      <c r="B30" s="20"/>
      <c r="C30" s="20"/>
      <c r="D30" s="20"/>
      <c r="E30" s="21"/>
    </row>
  </sheetData>
  <mergeCells count="1">
    <mergeCell ref="G1:H1"/>
  </mergeCells>
  <conditionalFormatting sqref="A2:A30">
    <cfRule type="duplicateValues" dxfId="3" priority="1"/>
  </conditionalFormatting>
  <conditionalFormatting sqref="H4">
    <cfRule type="containsText" dxfId="2" priority="2" operator="containsText" text="Klopt"/>
    <cfRule type="containsText" dxfId="1" priority="3" operator="containsText" text="Verschil"/>
    <cfRule type="containsText" dxfId="0" priority="4" operator="containsText" text="Automatische verdeling"/>
  </conditionalFormatting>
  <dataValidations count="2">
    <dataValidation type="whole" sqref="A2:A30" xr:uid="{00000000-0002-0000-0100-000000000000}">
      <formula1>1</formula1>
      <formula2>100</formula2>
    </dataValidation>
    <dataValidation type="whole" sqref="D2:D30" xr:uid="{00000000-0002-0000-0100-000001000000}">
      <formula1>1</formula1>
      <formula2>250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>
      <selection activeCell="C11" sqref="C11"/>
    </sheetView>
  </sheetViews>
  <sheetFormatPr defaultRowHeight="13.8"/>
  <cols>
    <col min="1" max="1" width="24" customWidth="1"/>
    <col min="2" max="2" width="20" customWidth="1"/>
    <col min="3" max="3" width="34" customWidth="1"/>
    <col min="4" max="5" width="15" customWidth="1"/>
    <col min="6" max="6" width="62" customWidth="1"/>
  </cols>
  <sheetData>
    <row r="1" spans="1:6">
      <c r="A1" s="24" t="s">
        <v>45</v>
      </c>
      <c r="B1" s="25" t="s">
        <v>46</v>
      </c>
      <c r="C1" s="25" t="s">
        <v>47</v>
      </c>
      <c r="D1" s="25" t="s">
        <v>48</v>
      </c>
      <c r="E1" s="25" t="s">
        <v>49</v>
      </c>
      <c r="F1" s="26" t="s">
        <v>3</v>
      </c>
    </row>
    <row r="2" spans="1:6" ht="31.95" customHeight="1">
      <c r="A2" s="27" t="s">
        <v>80</v>
      </c>
      <c r="B2" s="28"/>
      <c r="C2" s="28"/>
      <c r="D2" s="28"/>
      <c r="E2" s="28"/>
      <c r="F2" s="29" t="s">
        <v>50</v>
      </c>
    </row>
    <row r="3" spans="1:6" ht="31.95" customHeight="1">
      <c r="A3" s="27"/>
      <c r="B3" s="28"/>
      <c r="C3" s="28"/>
      <c r="D3" s="28"/>
      <c r="E3" s="28"/>
      <c r="F3" s="29" t="s">
        <v>51</v>
      </c>
    </row>
    <row r="4" spans="1:6" ht="31.95" customHeight="1">
      <c r="A4" s="27"/>
      <c r="B4" s="28"/>
      <c r="C4" s="28"/>
      <c r="D4" s="28"/>
      <c r="E4" s="28"/>
      <c r="F4" s="29" t="s">
        <v>52</v>
      </c>
    </row>
    <row r="5" spans="1:6" ht="31.95" customHeight="1">
      <c r="A5" s="27"/>
      <c r="B5" s="28"/>
      <c r="C5" s="28"/>
      <c r="D5" s="28"/>
      <c r="E5" s="28"/>
      <c r="F5" s="29" t="s">
        <v>53</v>
      </c>
    </row>
    <row r="6" spans="1:6" ht="31.95" customHeight="1">
      <c r="A6" s="27"/>
      <c r="B6" s="28"/>
      <c r="C6" s="28"/>
      <c r="D6" s="28"/>
      <c r="E6" s="28"/>
      <c r="F6" s="29" t="s">
        <v>54</v>
      </c>
    </row>
    <row r="7" spans="1:6" ht="31.95" customHeight="1">
      <c r="A7" s="27"/>
      <c r="B7" s="28"/>
      <c r="C7" s="28"/>
      <c r="D7" s="28"/>
      <c r="E7" s="28"/>
      <c r="F7" s="29"/>
    </row>
    <row r="8" spans="1:6" ht="31.95" customHeight="1">
      <c r="A8" s="27"/>
      <c r="B8" s="28"/>
      <c r="C8" s="28"/>
      <c r="D8" s="28"/>
      <c r="E8" s="28"/>
      <c r="F8" s="29"/>
    </row>
    <row r="9" spans="1:6" ht="31.95" customHeight="1">
      <c r="A9" s="27"/>
      <c r="B9" s="28"/>
      <c r="C9" s="28"/>
      <c r="D9" s="28"/>
      <c r="E9" s="28"/>
      <c r="F9" s="29"/>
    </row>
    <row r="10" spans="1:6" ht="31.95" customHeight="1">
      <c r="A10" s="27"/>
      <c r="B10" s="28"/>
      <c r="C10" s="28"/>
      <c r="D10" s="28"/>
      <c r="E10" s="28"/>
      <c r="F10" s="29"/>
    </row>
    <row r="11" spans="1:6" ht="31.95" customHeight="1">
      <c r="A11" s="27"/>
      <c r="B11" s="28"/>
      <c r="C11" s="28"/>
      <c r="D11" s="28"/>
      <c r="E11" s="28"/>
      <c r="F11" s="29"/>
    </row>
    <row r="12" spans="1:6" ht="31.95" customHeight="1">
      <c r="A12" s="27"/>
      <c r="B12" s="28"/>
      <c r="C12" s="28"/>
      <c r="D12" s="28"/>
      <c r="E12" s="28"/>
      <c r="F12" s="29"/>
    </row>
    <row r="13" spans="1:6" ht="31.95" customHeight="1">
      <c r="A13" s="27"/>
      <c r="B13" s="28"/>
      <c r="C13" s="28"/>
      <c r="D13" s="28"/>
      <c r="E13" s="28"/>
      <c r="F13" s="29"/>
    </row>
    <row r="14" spans="1:6" ht="31.95" customHeight="1">
      <c r="A14" s="27"/>
      <c r="B14" s="28"/>
      <c r="C14" s="28"/>
      <c r="D14" s="28"/>
      <c r="E14" s="28"/>
      <c r="F14" s="29"/>
    </row>
    <row r="15" spans="1:6" ht="31.95" customHeight="1">
      <c r="A15" s="27"/>
      <c r="B15" s="28"/>
      <c r="C15" s="28"/>
      <c r="D15" s="28"/>
      <c r="E15" s="28"/>
      <c r="F15" s="29"/>
    </row>
    <row r="16" spans="1:6" ht="31.95" customHeight="1">
      <c r="A16" s="30"/>
      <c r="B16" s="31"/>
      <c r="C16" s="31"/>
      <c r="D16" s="31"/>
      <c r="E16" s="31"/>
      <c r="F16" s="32"/>
    </row>
  </sheetData>
  <dataValidations count="3">
    <dataValidation type="list" sqref="B2:B16" xr:uid="{00000000-0002-0000-0200-000000000000}">
      <formula1>"Geneesmiddel,Voedsel,Omgeving,Overig"</formula1>
    </dataValidation>
    <dataValidation type="list" sqref="D2:D16" xr:uid="{00000000-0002-0000-0200-000001000000}">
      <formula1>"Mild,Matig,Ernstig,Onbekend"</formula1>
    </dataValidation>
    <dataValidation type="list" sqref="E2:E16" xr:uid="{00000000-0002-0000-0200-000002000000}">
      <formula1>"Actief,Inactief"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/>
  </sheetViews>
  <sheetFormatPr defaultRowHeight="13.8"/>
  <cols>
    <col min="1" max="1" width="32" customWidth="1"/>
    <col min="2" max="2" width="20" customWidth="1"/>
    <col min="3" max="3" width="28" customWidth="1"/>
    <col min="4" max="5" width="24" customWidth="1"/>
    <col min="6" max="6" width="62" customWidth="1"/>
  </cols>
  <sheetData>
    <row r="1" spans="1:6">
      <c r="A1" s="33" t="s">
        <v>34</v>
      </c>
      <c r="B1" s="34" t="s">
        <v>55</v>
      </c>
      <c r="C1" s="34" t="s">
        <v>56</v>
      </c>
      <c r="D1" s="34" t="s">
        <v>57</v>
      </c>
      <c r="E1" s="34" t="s">
        <v>58</v>
      </c>
      <c r="F1" s="35" t="s">
        <v>3</v>
      </c>
    </row>
    <row r="2" spans="1:6" ht="31.95" customHeight="1">
      <c r="A2" s="36"/>
      <c r="B2" s="37"/>
      <c r="C2" s="37"/>
      <c r="D2" s="37"/>
      <c r="E2" s="37"/>
      <c r="F2" s="38" t="s">
        <v>59</v>
      </c>
    </row>
    <row r="3" spans="1:6" ht="31.95" customHeight="1">
      <c r="A3" s="36"/>
      <c r="B3" s="37"/>
      <c r="C3" s="37"/>
      <c r="D3" s="37"/>
      <c r="E3" s="37"/>
      <c r="F3" s="38" t="s">
        <v>60</v>
      </c>
    </row>
    <row r="4" spans="1:6" ht="31.95" customHeight="1">
      <c r="A4" s="36"/>
      <c r="B4" s="37"/>
      <c r="C4" s="37"/>
      <c r="D4" s="37"/>
      <c r="E4" s="37"/>
      <c r="F4" s="38" t="s">
        <v>61</v>
      </c>
    </row>
    <row r="5" spans="1:6" ht="31.95" customHeight="1">
      <c r="A5" s="36"/>
      <c r="B5" s="37"/>
      <c r="C5" s="37"/>
      <c r="D5" s="37"/>
      <c r="E5" s="37"/>
      <c r="F5" s="38" t="s">
        <v>62</v>
      </c>
    </row>
    <row r="6" spans="1:6" ht="31.95" customHeight="1">
      <c r="A6" s="36"/>
      <c r="B6" s="37"/>
      <c r="C6" s="37"/>
      <c r="D6" s="37"/>
      <c r="E6" s="37"/>
      <c r="F6" s="38" t="s">
        <v>53</v>
      </c>
    </row>
    <row r="7" spans="1:6" ht="31.95" customHeight="1">
      <c r="A7" s="36"/>
      <c r="B7" s="37"/>
      <c r="C7" s="37"/>
      <c r="D7" s="37"/>
      <c r="E7" s="37"/>
      <c r="F7" s="38" t="s">
        <v>63</v>
      </c>
    </row>
    <row r="8" spans="1:6" ht="31.95" customHeight="1">
      <c r="A8" s="36"/>
      <c r="B8" s="37"/>
      <c r="C8" s="37"/>
      <c r="D8" s="37"/>
      <c r="E8" s="37"/>
      <c r="F8" s="38"/>
    </row>
    <row r="9" spans="1:6" ht="31.95" customHeight="1">
      <c r="A9" s="36"/>
      <c r="B9" s="37"/>
      <c r="C9" s="37"/>
      <c r="D9" s="37"/>
      <c r="E9" s="37"/>
      <c r="F9" s="38"/>
    </row>
    <row r="10" spans="1:6" ht="31.95" customHeight="1">
      <c r="A10" s="36"/>
      <c r="B10" s="37"/>
      <c r="C10" s="37"/>
      <c r="D10" s="37"/>
      <c r="E10" s="37"/>
      <c r="F10" s="38"/>
    </row>
    <row r="11" spans="1:6" ht="31.95" customHeight="1">
      <c r="A11" s="36"/>
      <c r="B11" s="37"/>
      <c r="C11" s="37"/>
      <c r="D11" s="37"/>
      <c r="E11" s="37"/>
      <c r="F11" s="38"/>
    </row>
    <row r="12" spans="1:6" ht="31.95" customHeight="1">
      <c r="A12" s="36"/>
      <c r="B12" s="37"/>
      <c r="C12" s="37"/>
      <c r="D12" s="37"/>
      <c r="E12" s="37"/>
      <c r="F12" s="38"/>
    </row>
    <row r="13" spans="1:6" ht="31.95" customHeight="1">
      <c r="A13" s="36"/>
      <c r="B13" s="37"/>
      <c r="C13" s="37"/>
      <c r="D13" s="37"/>
      <c r="E13" s="37"/>
      <c r="F13" s="38"/>
    </row>
    <row r="14" spans="1:6" ht="31.95" customHeight="1">
      <c r="A14" s="36"/>
      <c r="B14" s="37"/>
      <c r="C14" s="37"/>
      <c r="D14" s="37"/>
      <c r="E14" s="37"/>
      <c r="F14" s="38"/>
    </row>
    <row r="15" spans="1:6" ht="31.95" customHeight="1">
      <c r="A15" s="36"/>
      <c r="B15" s="37"/>
      <c r="C15" s="37"/>
      <c r="D15" s="37"/>
      <c r="E15" s="37"/>
      <c r="F15" s="38"/>
    </row>
    <row r="16" spans="1:6" ht="31.95" customHeight="1">
      <c r="A16" s="39"/>
      <c r="B16" s="40"/>
      <c r="C16" s="40"/>
      <c r="D16" s="40"/>
      <c r="E16" s="40"/>
      <c r="F16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showGridLines="0" workbookViewId="0"/>
  </sheetViews>
  <sheetFormatPr defaultRowHeight="13.8"/>
  <cols>
    <col min="1" max="1" width="30" customWidth="1"/>
    <col min="2" max="2" width="38" customWidth="1"/>
    <col min="3" max="3" width="24" customWidth="1"/>
    <col min="4" max="4" width="22" customWidth="1"/>
    <col min="5" max="5" width="16" customWidth="1"/>
    <col min="6" max="6" width="72" customWidth="1"/>
  </cols>
  <sheetData>
    <row r="1" spans="1:6">
      <c r="A1" s="42" t="s">
        <v>34</v>
      </c>
      <c r="B1" s="43" t="s">
        <v>64</v>
      </c>
      <c r="C1" s="43" t="s">
        <v>65</v>
      </c>
      <c r="D1" s="43" t="s">
        <v>66</v>
      </c>
      <c r="E1" s="43" t="s">
        <v>67</v>
      </c>
      <c r="F1" s="44" t="s">
        <v>3</v>
      </c>
    </row>
    <row r="2" spans="1:6" ht="37.950000000000003" customHeight="1">
      <c r="A2" s="45"/>
      <c r="B2" s="46"/>
      <c r="C2" s="46"/>
      <c r="D2" s="46"/>
      <c r="E2" s="46"/>
      <c r="F2" s="47" t="s">
        <v>68</v>
      </c>
    </row>
    <row r="3" spans="1:6" ht="37.950000000000003" customHeight="1">
      <c r="A3" s="45"/>
      <c r="B3" s="46"/>
      <c r="C3" s="46"/>
      <c r="D3" s="46"/>
      <c r="E3" s="46"/>
      <c r="F3" s="47" t="s">
        <v>69</v>
      </c>
    </row>
    <row r="4" spans="1:6" ht="37.950000000000003" customHeight="1">
      <c r="A4" s="45"/>
      <c r="B4" s="46"/>
      <c r="C4" s="46"/>
      <c r="D4" s="46"/>
      <c r="E4" s="46"/>
      <c r="F4" s="47" t="s">
        <v>70</v>
      </c>
    </row>
    <row r="5" spans="1:6" ht="37.950000000000003" customHeight="1">
      <c r="A5" s="45"/>
      <c r="B5" s="46"/>
      <c r="C5" s="46"/>
      <c r="D5" s="46"/>
      <c r="E5" s="46"/>
      <c r="F5" s="47" t="s">
        <v>71</v>
      </c>
    </row>
    <row r="6" spans="1:6" ht="37.950000000000003" customHeight="1">
      <c r="A6" s="45"/>
      <c r="B6" s="46"/>
      <c r="C6" s="46"/>
      <c r="D6" s="46"/>
      <c r="E6" s="46"/>
      <c r="F6" s="47" t="s">
        <v>72</v>
      </c>
    </row>
    <row r="7" spans="1:6" ht="37.950000000000003" customHeight="1">
      <c r="A7" s="45"/>
      <c r="B7" s="46"/>
      <c r="C7" s="46"/>
      <c r="D7" s="46"/>
      <c r="E7" s="46"/>
      <c r="F7" s="47" t="s">
        <v>73</v>
      </c>
    </row>
    <row r="8" spans="1:6" ht="37.950000000000003" customHeight="1">
      <c r="A8" s="45"/>
      <c r="B8" s="46"/>
      <c r="C8" s="46"/>
      <c r="D8" s="46"/>
      <c r="E8" s="46"/>
      <c r="F8" s="47" t="s">
        <v>74</v>
      </c>
    </row>
    <row r="9" spans="1:6" ht="37.950000000000003" customHeight="1">
      <c r="A9" s="45"/>
      <c r="B9" s="46"/>
      <c r="C9" s="46"/>
      <c r="D9" s="46"/>
      <c r="E9" s="46"/>
      <c r="F9" s="47"/>
    </row>
    <row r="10" spans="1:6" ht="37.950000000000003" customHeight="1">
      <c r="A10" s="45"/>
      <c r="B10" s="46"/>
      <c r="C10" s="46"/>
      <c r="D10" s="46"/>
      <c r="E10" s="46"/>
      <c r="F10" s="47"/>
    </row>
    <row r="11" spans="1:6" ht="37.950000000000003" customHeight="1">
      <c r="A11" s="45"/>
      <c r="B11" s="46"/>
      <c r="C11" s="46"/>
      <c r="D11" s="46"/>
      <c r="E11" s="46"/>
      <c r="F11" s="47"/>
    </row>
    <row r="12" spans="1:6" ht="37.950000000000003" customHeight="1">
      <c r="A12" s="45"/>
      <c r="B12" s="46"/>
      <c r="C12" s="46"/>
      <c r="D12" s="46"/>
      <c r="E12" s="46"/>
      <c r="F12" s="47"/>
    </row>
    <row r="13" spans="1:6" ht="37.950000000000003" customHeight="1">
      <c r="A13" s="45"/>
      <c r="B13" s="46"/>
      <c r="C13" s="46"/>
      <c r="D13" s="46"/>
      <c r="E13" s="46"/>
      <c r="F13" s="47"/>
    </row>
    <row r="14" spans="1:6" ht="37.950000000000003" customHeight="1">
      <c r="A14" s="45"/>
      <c r="B14" s="46"/>
      <c r="C14" s="46"/>
      <c r="D14" s="46"/>
      <c r="E14" s="46"/>
      <c r="F14" s="47"/>
    </row>
    <row r="15" spans="1:6" ht="37.950000000000003" customHeight="1">
      <c r="A15" s="45"/>
      <c r="B15" s="46"/>
      <c r="C15" s="46"/>
      <c r="D15" s="46"/>
      <c r="E15" s="46"/>
      <c r="F15" s="47"/>
    </row>
    <row r="16" spans="1:6" ht="37.950000000000003" customHeight="1">
      <c r="A16" s="48"/>
      <c r="B16" s="49"/>
      <c r="C16" s="49"/>
      <c r="D16" s="49"/>
      <c r="E16" s="49"/>
      <c r="F16" s="5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Patient</vt:lpstr>
      <vt:lpstr>Episodes</vt:lpstr>
      <vt:lpstr>Allergieen</vt:lpstr>
      <vt:lpstr>Microbiologie</vt:lpstr>
      <vt:lpstr>Laboratorium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 Nguyen</cp:lastModifiedBy>
  <dcterms:modified xsi:type="dcterms:W3CDTF">2026-08-17T13:48:20Z</dcterms:modified>
</cp:coreProperties>
</file>